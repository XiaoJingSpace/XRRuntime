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forceDepots\svr\minimal\latest_xr\sxrApi\etc\SM8250-Nreal\"/>
    </mc:Choice>
  </mc:AlternateContent>
  <xr:revisionPtr revIDLastSave="0" documentId="8_{CD8507A4-41DE-46F3-8583-43C02EBD8BB2}" xr6:coauthVersionLast="45" xr6:coauthVersionMax="45" xr10:uidLastSave="{00000000-0000-0000-0000-000000000000}"/>
  <bookViews>
    <workbookView xWindow="-120" yWindow="-120" windowWidth="29040" windowHeight="15990" xr2:uid="{4AF354AD-4BD4-4DCF-A851-57FAC335C4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7" i="1" l="1"/>
  <c r="F35" i="1"/>
  <c r="F58" i="1" l="1"/>
  <c r="F57" i="1"/>
  <c r="F56" i="1"/>
  <c r="F55" i="1"/>
  <c r="F42" i="1"/>
  <c r="F54" i="1"/>
  <c r="F53" i="1"/>
  <c r="F52" i="1"/>
  <c r="F46" i="1"/>
  <c r="F45" i="1"/>
  <c r="F44" i="1"/>
  <c r="F43" i="1"/>
  <c r="F41" i="1"/>
  <c r="F40" i="1"/>
  <c r="F3" i="1" l="1"/>
  <c r="F36" i="1" s="1"/>
  <c r="F4" i="1"/>
  <c r="F8" i="1" s="1"/>
  <c r="F30" i="1"/>
  <c r="F29" i="1"/>
  <c r="F19" i="1"/>
  <c r="F23" i="1" s="1"/>
  <c r="F18" i="1"/>
  <c r="F22" i="1" s="1"/>
  <c r="F25" i="1" s="1"/>
  <c r="F16" i="1"/>
  <c r="F20" i="1" s="1"/>
  <c r="F17" i="1"/>
  <c r="F21" i="1" s="1"/>
  <c r="F6" i="1"/>
  <c r="F10" i="1" s="1"/>
  <c r="F5" i="1"/>
  <c r="F9" i="1" s="1"/>
  <c r="F7" i="1" l="1"/>
  <c r="F11" i="1" s="1"/>
  <c r="F49" i="1"/>
  <c r="F50" i="1"/>
  <c r="F39" i="1"/>
  <c r="F48" i="1"/>
  <c r="F37" i="1"/>
  <c r="F51" i="1"/>
  <c r="F38" i="1"/>
  <c r="F24" i="1"/>
  <c r="F26" i="1" s="1"/>
  <c r="F12" i="1"/>
  <c r="F32" i="1" s="1"/>
  <c r="F13" i="1" l="1"/>
  <c r="F31" i="1"/>
</calcChain>
</file>

<file path=xl/sharedStrings.xml><?xml version="1.0" encoding="utf-8"?>
<sst xmlns="http://schemas.openxmlformats.org/spreadsheetml/2006/main" count="96" uniqueCount="66">
  <si>
    <t>k_left_display:</t>
  </si>
  <si>
    <t>pixels</t>
  </si>
  <si>
    <t>left_frustum:</t>
  </si>
  <si>
    <t>focal_length_x</t>
  </si>
  <si>
    <t>left_fov_radians</t>
  </si>
  <si>
    <t>principle_point_x</t>
  </si>
  <si>
    <t>right_fov_radians</t>
  </si>
  <si>
    <t>focal_length_y</t>
  </si>
  <si>
    <t>top_fov_radians</t>
  </si>
  <si>
    <t>principle_point_y</t>
  </si>
  <si>
    <t>bottom_fov_radians</t>
  </si>
  <si>
    <t>left_fov_degrees</t>
  </si>
  <si>
    <t>k_right_display:</t>
  </si>
  <si>
    <t>right_fov_degrees</t>
  </si>
  <si>
    <t>top_fov_degrees</t>
  </si>
  <si>
    <t>bottom_fov_degrees</t>
  </si>
  <si>
    <t>horizontal_fov_degrees</t>
  </si>
  <si>
    <t>vertical_fov_degress</t>
  </si>
  <si>
    <t>diagonal_fov_degrees</t>
  </si>
  <si>
    <t>resolution:</t>
  </si>
  <si>
    <t>width</t>
  </si>
  <si>
    <t>right_frustum:</t>
  </si>
  <si>
    <t>height</t>
  </si>
  <si>
    <t>misc (not from slam.conf):</t>
  </si>
  <si>
    <t>meters</t>
  </si>
  <si>
    <t>near_clip_distance</t>
  </si>
  <si>
    <t>target_p_left_display</t>
  </si>
  <si>
    <t>x</t>
  </si>
  <si>
    <t>y</t>
  </si>
  <si>
    <t>z</t>
  </si>
  <si>
    <t>target_p_right_display</t>
  </si>
  <si>
    <t>sxrapi_config.txt values</t>
  </si>
  <si>
    <t>gEyeBufferWidth</t>
  </si>
  <si>
    <t>gEyeBufferHeight</t>
  </si>
  <si>
    <t>target_q_left_display</t>
  </si>
  <si>
    <t>gEyeBufferFovX</t>
  </si>
  <si>
    <t>gEyeBufferFovY</t>
  </si>
  <si>
    <t>gFrustum_Convergence</t>
  </si>
  <si>
    <t>gFrustum_Pitch</t>
  </si>
  <si>
    <t>w</t>
  </si>
  <si>
    <t>gLeftFrustum_Near</t>
  </si>
  <si>
    <t>gLeftFrustum_Left</t>
  </si>
  <si>
    <t>target_q_right_display</t>
  </si>
  <si>
    <t>gLeftFrustum_Right</t>
  </si>
  <si>
    <t>gLeftFrustum_Top</t>
  </si>
  <si>
    <t>gLeftFrustum_Bottom</t>
  </si>
  <si>
    <t>gLeftFrustum_PositionX</t>
  </si>
  <si>
    <t>gLeftFrustum_PositionY</t>
  </si>
  <si>
    <t>gLeftFrustum_PositionZ</t>
  </si>
  <si>
    <t>gLeftFrustum_RotationX</t>
  </si>
  <si>
    <t>gLeftFrustum_RotationY</t>
  </si>
  <si>
    <t>gLeftFrustum_RotationZ</t>
  </si>
  <si>
    <t>gLeftFrustum_RotationW</t>
  </si>
  <si>
    <t>gRightFrustum_Near</t>
  </si>
  <si>
    <t>gRightFrustum_Left</t>
  </si>
  <si>
    <t>gRightFrustum_Right</t>
  </si>
  <si>
    <t>gRightFrustum_Top</t>
  </si>
  <si>
    <t>gRightFrustum_Bottom</t>
  </si>
  <si>
    <t>gRightFrustum_PositionX</t>
  </si>
  <si>
    <t>gRightFrustum_PositionY</t>
  </si>
  <si>
    <t>gRightFrustum_PositionZ</t>
  </si>
  <si>
    <t>gRightFrustum_RotationX</t>
  </si>
  <si>
    <t>gRightFrustum_RotationY</t>
  </si>
  <si>
    <t>gRightFrustum_RotationZ</t>
  </si>
  <si>
    <t>gRightFrustum_RotationW</t>
  </si>
  <si>
    <t>quaternion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</si>
</sst>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right" vertical="top"/>
    </xf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2" fillId="4" borderId="1" xfId="0" applyFont="1" applyFill="1" applyBorder="1"/>
    <xf numFmtId="0" fontId="1" fillId="0" borderId="1" xfId="0" applyFont="1" applyBorder="1" applyAlignment="1">
      <alignment horizontal="right"/>
    </xf>
    <xf numFmtId="164" fontId="0" fillId="3" borderId="1" xfId="0" applyNumberFormat="1" applyFill="1" applyBorder="1"/>
    <xf numFmtId="0" fontId="1" fillId="0" borderId="2" xfId="0" applyFont="1" applyBorder="1"/>
    <xf numFmtId="0" fontId="0" fillId="0" borderId="2" xfId="0" applyBorder="1"/>
    <xf numFmtId="0" fontId="0" fillId="4" borderId="1" xfId="0" applyNumberFormat="1" applyFill="1" applyBorder="1"/>
    <xf numFmtId="0" fontId="2" fillId="4" borderId="1" xfId="0" applyNumberFormat="1" applyFont="1" applyFill="1" applyBorder="1"/>
    <xf numFmtId="0" fontId="0" fillId="4" borderId="3" xfId="0" applyNumberFormat="1" applyFill="1" applyBorder="1"/>
    <xf numFmtId="0" fontId="0" fillId="4" borderId="2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2" xfId="0" applyFill="1" applyBorder="1"/>
    <xf numFmtId="0" fontId="0" fillId="7" borderId="2" xfId="0" applyFill="1" applyBorder="1"/>
    <xf numFmtId="0" fontId="1" fillId="0" borderId="2" xfId="0" applyFont="1" applyBorder="1" applyAlignment="1">
      <alignment horizontal="right"/>
    </xf>
    <xf numFmtId="0" fontId="0" fillId="0" borderId="4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0" fontId="0" fillId="0" borderId="10" xfId="0" applyFill="1" applyBorder="1"/>
    <xf numFmtId="0" fontId="0" fillId="0" borderId="11" xfId="0" applyBorder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9525</xdr:rowOff>
    </xdr:from>
    <xdr:to>
      <xdr:col>17</xdr:col>
      <xdr:colOff>0</xdr:colOff>
      <xdr:row>33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56B4F2-E4F5-4242-B17C-596F54945FE9}"/>
            </a:ext>
          </a:extLst>
        </xdr:cNvPr>
        <xdr:cNvSpPr txBox="1"/>
      </xdr:nvSpPr>
      <xdr:spPr>
        <a:xfrm>
          <a:off x="7115175" y="200025"/>
          <a:ext cx="6181725" cy="6257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  <a:r>
            <a:rPr lang="en-US" sz="1100" b="1" u="sng" baseline="0"/>
            <a:t> to update deafult nreal sxrapi_config.txt with per device calibration data:</a:t>
          </a:r>
        </a:p>
        <a:p>
          <a:r>
            <a:rPr lang="en-US" sz="1100" b="0" baseline="0"/>
            <a:t>1. </a:t>
          </a:r>
          <a:r>
            <a:rPr lang="en-US" sz="1100" b="1" baseline="0">
              <a:solidFill>
                <a:srgbClr val="FF0000"/>
              </a:solidFill>
            </a:rPr>
            <a:t>Save a copy of this spreadsheet, please don't live-edit values. If you know what you are doing and it is nescessary the unlock password for this sheet is "xrsw".</a:t>
          </a:r>
          <a:endParaRPr lang="en-US" sz="1100" b="1">
            <a:solidFill>
              <a:srgbClr val="FF0000"/>
            </a:solidFill>
          </a:endParaRPr>
        </a:p>
        <a:p>
          <a:r>
            <a:rPr lang="en-US" sz="1100"/>
            <a:t>2. Copy values from your glasses'</a:t>
          </a:r>
          <a:r>
            <a:rPr lang="en-US" sz="1100" baseline="0"/>
            <a:t> </a:t>
          </a:r>
          <a:r>
            <a:rPr lang="en-US" sz="1100"/>
            <a:t>slam.conf into their respective yellow cells,</a:t>
          </a:r>
          <a:r>
            <a:rPr lang="en-US" sz="1100" baseline="0"/>
            <a:t> a legend is below this list.</a:t>
          </a:r>
          <a:endParaRPr lang="en-US" sz="1100"/>
        </a:p>
        <a:p>
          <a:r>
            <a:rPr lang="en-US" sz="1100"/>
            <a:t>3. Input chosen near_clip_distance</a:t>
          </a:r>
          <a:r>
            <a:rPr lang="en-US" sz="1100" baseline="0"/>
            <a:t>, 1.5cm is a reasonable value for nreal but can be tweaked.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4.</a:t>
          </a:r>
          <a:r>
            <a:rPr lang="en-US" sz="1100" baseline="0"/>
            <a:t> </a:t>
          </a:r>
          <a:r>
            <a:rPr lang="en-US" sz="1100"/>
            <a:t>Update variables in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sxrapi_config.txt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their</a:t>
          </a:r>
          <a:r>
            <a:rPr lang="en-US" sz="1100"/>
            <a:t> new values from the green cell</a:t>
          </a:r>
          <a:r>
            <a:rPr lang="en-US" sz="1100" baseline="0"/>
            <a:t>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  <a:p>
          <a:r>
            <a:rPr lang="en-US" sz="1100" b="1" u="sng"/>
            <a:t>slam.conf struct legend:</a:t>
          </a:r>
        </a:p>
        <a:p>
          <a:r>
            <a:rPr lang="en-US" sz="1100"/>
            <a:t>"k_&lt;side&gt;_display": [</a:t>
          </a:r>
        </a:p>
        <a:p>
          <a:r>
            <a:rPr lang="en-US" sz="1100"/>
            <a:t>    focal_length_x,</a:t>
          </a:r>
        </a:p>
        <a:p>
          <a:r>
            <a:rPr lang="en-US" sz="1100"/>
            <a:t>    0.0,</a:t>
          </a:r>
        </a:p>
        <a:p>
          <a:r>
            <a:rPr lang="en-US" sz="1100"/>
            <a:t>    principle_point_x,</a:t>
          </a:r>
        </a:p>
        <a:p>
          <a:r>
            <a:rPr lang="en-US" sz="1100"/>
            <a:t>    0.0,</a:t>
          </a:r>
        </a:p>
        <a:p>
          <a:r>
            <a:rPr lang="en-US" sz="1100"/>
            <a:t>    focal_length_y,</a:t>
          </a:r>
        </a:p>
        <a:p>
          <a:r>
            <a:rPr lang="en-US" sz="1100"/>
            <a:t>    principle_point_y,</a:t>
          </a:r>
        </a:p>
        <a:p>
          <a:r>
            <a:rPr lang="en-US" sz="1100"/>
            <a:t>    0.0,</a:t>
          </a:r>
        </a:p>
        <a:p>
          <a:r>
            <a:rPr lang="en-US" sz="1100"/>
            <a:t>    0.0,</a:t>
          </a:r>
        </a:p>
        <a:p>
          <a:r>
            <a:rPr lang="en-US" sz="1100"/>
            <a:t>    1.0</a:t>
          </a:r>
        </a:p>
        <a:p>
          <a:r>
            <a:rPr lang="en-US" sz="1100"/>
            <a:t>]</a:t>
          </a:r>
        </a:p>
        <a:p>
          <a:endParaRPr lang="en-US" sz="1100"/>
        </a:p>
        <a:p>
          <a:r>
            <a:rPr lang="en-US" sz="1100"/>
            <a:t>"resolution": [ </a:t>
          </a:r>
        </a:p>
        <a:p>
          <a:r>
            <a:rPr lang="en-US" sz="1100"/>
            <a:t>  width,</a:t>
          </a:r>
        </a:p>
        <a:p>
          <a:r>
            <a:rPr lang="en-US" sz="1100"/>
            <a:t>  height</a:t>
          </a:r>
        </a:p>
        <a:p>
          <a:r>
            <a:rPr lang="en-US" sz="1100"/>
            <a:t>]</a:t>
          </a:r>
        </a:p>
        <a:p>
          <a:endParaRPr lang="en-US" sz="1100"/>
        </a:p>
        <a:p>
          <a:r>
            <a:rPr lang="en-US" sz="1100"/>
            <a:t>"target_p_&lt;side&gt;_display": [</a:t>
          </a:r>
        </a:p>
        <a:p>
          <a:r>
            <a:rPr lang="en-US" sz="1100" baseline="0"/>
            <a:t>  </a:t>
          </a:r>
          <a:r>
            <a:rPr lang="en-US" sz="1100"/>
            <a:t>x </a:t>
          </a:r>
        </a:p>
        <a:p>
          <a:r>
            <a:rPr lang="en-US" sz="1100" baseline="0"/>
            <a:t>  </a:t>
          </a:r>
          <a:r>
            <a:rPr lang="en-US" sz="1100"/>
            <a:t>y, </a:t>
          </a:r>
        </a:p>
        <a:p>
          <a:r>
            <a:rPr lang="en-US" sz="1100" baseline="0"/>
            <a:t>  </a:t>
          </a:r>
          <a:r>
            <a:rPr lang="en-US" sz="1100"/>
            <a:t>z</a:t>
          </a:r>
        </a:p>
        <a:p>
          <a:r>
            <a:rPr lang="en-US" sz="1100"/>
            <a:t>]</a:t>
          </a:r>
        </a:p>
        <a:p>
          <a:endParaRPr lang="en-US" sz="1100"/>
        </a:p>
        <a:p>
          <a:r>
            <a:rPr lang="en-US" sz="1100"/>
            <a:t>"target_q_&lt;side&gt;_display": [</a:t>
          </a:r>
        </a:p>
        <a:p>
          <a:r>
            <a:rPr lang="en-US" sz="1100" baseline="0"/>
            <a:t>  </a:t>
          </a:r>
          <a:r>
            <a:rPr lang="en-US" sz="1100"/>
            <a:t>x </a:t>
          </a:r>
        </a:p>
        <a:p>
          <a:r>
            <a:rPr lang="en-US" sz="1100" baseline="0"/>
            <a:t>  </a:t>
          </a:r>
          <a:r>
            <a:rPr lang="en-US" sz="1100"/>
            <a:t>y, </a:t>
          </a:r>
        </a:p>
        <a:p>
          <a:r>
            <a:rPr lang="en-US" sz="1100" baseline="0"/>
            <a:t>  </a:t>
          </a:r>
          <a:r>
            <a:rPr lang="en-US" sz="1100"/>
            <a:t>z, </a:t>
          </a:r>
        </a:p>
        <a:p>
          <a:r>
            <a:rPr lang="en-US" sz="1100" baseline="0"/>
            <a:t>  </a:t>
          </a:r>
          <a:r>
            <a:rPr lang="en-US" sz="1100"/>
            <a:t>w</a:t>
          </a:r>
        </a:p>
        <a:p>
          <a:r>
            <a:rPr lang="en-US" sz="1100"/>
            <a:t>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2C11-09DE-4E05-A7F6-D465DB85A47E}">
  <dimension ref="A1:R63"/>
  <sheetViews>
    <sheetView tabSelected="1" workbookViewId="0">
      <selection activeCell="A18" sqref="A18:A19"/>
    </sheetView>
  </sheetViews>
  <sheetFormatPr defaultRowHeight="15" x14ac:dyDescent="0.25"/>
  <cols>
    <col min="1" max="1" width="5" customWidth="1"/>
    <col min="2" max="2" width="24" customWidth="1"/>
    <col min="3" max="3" width="14" customWidth="1"/>
    <col min="4" max="4" width="9.85546875" customWidth="1"/>
    <col min="5" max="5" width="24.42578125" customWidth="1"/>
    <col min="6" max="6" width="14.7109375" customWidth="1"/>
    <col min="8" max="8" width="10.5703125" customWidth="1"/>
    <col min="18" max="18" width="4.85546875" customWidth="1"/>
  </cols>
  <sheetData>
    <row r="1" spans="1:18" x14ac:dyDescent="0.25">
      <c r="A1" s="23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</row>
    <row r="2" spans="1:18" x14ac:dyDescent="0.25">
      <c r="A2" s="27"/>
      <c r="B2" s="1" t="s">
        <v>0</v>
      </c>
      <c r="C2" s="9" t="s">
        <v>1</v>
      </c>
      <c r="D2" s="28"/>
      <c r="E2" s="6" t="s">
        <v>2</v>
      </c>
      <c r="F2" s="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</row>
    <row r="3" spans="1:18" x14ac:dyDescent="0.25">
      <c r="A3" s="27"/>
      <c r="B3" s="2" t="s">
        <v>3</v>
      </c>
      <c r="C3" s="3">
        <v>2414.15</v>
      </c>
      <c r="D3" s="28"/>
      <c r="E3" s="7" t="s">
        <v>4</v>
      </c>
      <c r="F3" s="10">
        <f>ATAN(C4/C3)</f>
        <v>0.3717987261528255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</row>
    <row r="4" spans="1:18" x14ac:dyDescent="0.25">
      <c r="A4" s="27"/>
      <c r="B4" s="2" t="s">
        <v>5</v>
      </c>
      <c r="C4" s="3">
        <v>941.35900000000004</v>
      </c>
      <c r="D4" s="28"/>
      <c r="E4" s="7" t="s">
        <v>6</v>
      </c>
      <c r="F4" s="10">
        <f>ATAN((C15-C4)/C3)</f>
        <v>0.3851331513354373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</row>
    <row r="5" spans="1:18" x14ac:dyDescent="0.25">
      <c r="A5" s="27"/>
      <c r="B5" s="2" t="s">
        <v>7</v>
      </c>
      <c r="C5" s="3">
        <v>2417.02</v>
      </c>
      <c r="D5" s="28"/>
      <c r="E5" s="7" t="s">
        <v>8</v>
      </c>
      <c r="F5" s="10">
        <f>ATAN(C6/C5)</f>
        <v>0.20624148478930243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9"/>
    </row>
    <row r="6" spans="1:18" x14ac:dyDescent="0.25">
      <c r="A6" s="27"/>
      <c r="B6" s="2" t="s">
        <v>9</v>
      </c>
      <c r="C6" s="3">
        <v>505.68</v>
      </c>
      <c r="D6" s="28"/>
      <c r="E6" s="7" t="s">
        <v>10</v>
      </c>
      <c r="F6" s="10">
        <f>ATAN((C16-C6)/C5)</f>
        <v>0.23328857628503061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</row>
    <row r="7" spans="1:18" x14ac:dyDescent="0.25">
      <c r="A7" s="27"/>
      <c r="B7" s="28"/>
      <c r="C7" s="28"/>
      <c r="D7" s="28"/>
      <c r="E7" s="7" t="s">
        <v>11</v>
      </c>
      <c r="F7" s="10">
        <f>DEGREES(F3)</f>
        <v>21.302497836897164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</row>
    <row r="8" spans="1:18" x14ac:dyDescent="0.25">
      <c r="A8" s="27"/>
      <c r="B8" s="1" t="s">
        <v>12</v>
      </c>
      <c r="C8" s="9" t="s">
        <v>1</v>
      </c>
      <c r="D8" s="28"/>
      <c r="E8" s="7" t="s">
        <v>13</v>
      </c>
      <c r="F8" s="10">
        <f>DEGREES(F4)</f>
        <v>22.066504122093782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9"/>
    </row>
    <row r="9" spans="1:18" x14ac:dyDescent="0.25">
      <c r="A9" s="27"/>
      <c r="B9" s="2" t="s">
        <v>3</v>
      </c>
      <c r="C9" s="3">
        <v>2404.4499999999998</v>
      </c>
      <c r="D9" s="28"/>
      <c r="E9" s="7" t="s">
        <v>14</v>
      </c>
      <c r="F9" s="10">
        <f>DEGREES(F5)</f>
        <v>11.816766638938594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 x14ac:dyDescent="0.25">
      <c r="A10" s="27"/>
      <c r="B10" s="2" t="s">
        <v>5</v>
      </c>
      <c r="C10" s="3">
        <v>930.26700000000005</v>
      </c>
      <c r="D10" s="28"/>
      <c r="E10" s="7" t="s">
        <v>15</v>
      </c>
      <c r="F10" s="10">
        <f>DEGREES(F6)</f>
        <v>13.366450829747999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</row>
    <row r="11" spans="1:18" x14ac:dyDescent="0.25">
      <c r="A11" s="27"/>
      <c r="B11" s="2" t="s">
        <v>7</v>
      </c>
      <c r="C11" s="3">
        <v>2412.4899999999998</v>
      </c>
      <c r="D11" s="28"/>
      <c r="E11" s="7" t="s">
        <v>16</v>
      </c>
      <c r="F11" s="10">
        <f>F7+F8</f>
        <v>43.36900195899095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9"/>
    </row>
    <row r="12" spans="1:18" x14ac:dyDescent="0.25">
      <c r="A12" s="27"/>
      <c r="B12" s="2" t="s">
        <v>9</v>
      </c>
      <c r="C12" s="3">
        <v>526.61400000000003</v>
      </c>
      <c r="D12" s="28"/>
      <c r="E12" s="7" t="s">
        <v>17</v>
      </c>
      <c r="F12" s="10">
        <f>F9+F10</f>
        <v>25.183217468686593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/>
    </row>
    <row r="13" spans="1:18" x14ac:dyDescent="0.25">
      <c r="A13" s="27"/>
      <c r="B13" s="28"/>
      <c r="C13" s="28"/>
      <c r="D13" s="28"/>
      <c r="E13" s="7" t="s">
        <v>18</v>
      </c>
      <c r="F13" s="10">
        <f>SQRT(F11*F11 + F12*F12)</f>
        <v>50.15042146377359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</row>
    <row r="14" spans="1:18" x14ac:dyDescent="0.25">
      <c r="A14" s="27"/>
      <c r="B14" s="1" t="s">
        <v>19</v>
      </c>
      <c r="C14" s="9" t="s">
        <v>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9"/>
    </row>
    <row r="15" spans="1:18" x14ac:dyDescent="0.25">
      <c r="A15" s="27"/>
      <c r="B15" s="2" t="s">
        <v>20</v>
      </c>
      <c r="C15" s="35">
        <v>1920</v>
      </c>
      <c r="D15" s="28"/>
      <c r="E15" s="6" t="s">
        <v>21</v>
      </c>
      <c r="F15" s="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</row>
    <row r="16" spans="1:18" x14ac:dyDescent="0.25">
      <c r="A16" s="27"/>
      <c r="B16" s="2" t="s">
        <v>22</v>
      </c>
      <c r="C16" s="35">
        <v>1080</v>
      </c>
      <c r="D16" s="28"/>
      <c r="E16" s="7" t="s">
        <v>4</v>
      </c>
      <c r="F16" s="10">
        <f>ATAN(C10/C9)</f>
        <v>0.36915719564088534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</row>
    <row r="17" spans="1:18" x14ac:dyDescent="0.25">
      <c r="A17" s="27"/>
      <c r="B17" s="28"/>
      <c r="C17" s="28"/>
      <c r="D17" s="28"/>
      <c r="E17" s="7" t="s">
        <v>6</v>
      </c>
      <c r="F17" s="10">
        <f>ATAN((C15-C10)/C9)</f>
        <v>0.39048803637537594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</row>
    <row r="18" spans="1:18" x14ac:dyDescent="0.25">
      <c r="A18" s="27"/>
      <c r="B18" s="11" t="s">
        <v>26</v>
      </c>
      <c r="C18" s="22" t="s">
        <v>24</v>
      </c>
      <c r="D18" s="28"/>
      <c r="E18" s="7" t="s">
        <v>8</v>
      </c>
      <c r="F18" s="10">
        <f>ATAN(C12/C11)</f>
        <v>0.21491532391703275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/>
    </row>
    <row r="19" spans="1:18" x14ac:dyDescent="0.25">
      <c r="A19" s="27"/>
      <c r="B19" s="12" t="s">
        <v>27</v>
      </c>
      <c r="C19" s="36">
        <v>-3.0410199999999998E-2</v>
      </c>
      <c r="D19" s="28"/>
      <c r="E19" s="7" t="s">
        <v>10</v>
      </c>
      <c r="F19" s="10">
        <f>ATAN((C16-C12)/C11)</f>
        <v>0.22548301981316662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</row>
    <row r="20" spans="1:18" x14ac:dyDescent="0.25">
      <c r="A20" s="27"/>
      <c r="B20" s="12" t="s">
        <v>28</v>
      </c>
      <c r="C20" s="36">
        <v>1.5011099999999999E-2</v>
      </c>
      <c r="D20" s="28"/>
      <c r="E20" s="7" t="s">
        <v>11</v>
      </c>
      <c r="F20" s="10">
        <f>DEGREES(F16)</f>
        <v>21.151149287107962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</row>
    <row r="21" spans="1:18" x14ac:dyDescent="0.25">
      <c r="A21" s="27"/>
      <c r="B21" s="12" t="s">
        <v>29</v>
      </c>
      <c r="C21" s="36">
        <v>-1.47408E-2</v>
      </c>
      <c r="D21" s="30"/>
      <c r="E21" s="7" t="s">
        <v>13</v>
      </c>
      <c r="F21" s="10">
        <f>DEGREES(F17)</f>
        <v>22.373316434660008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</row>
    <row r="22" spans="1:18" x14ac:dyDescent="0.25">
      <c r="A22" s="27"/>
      <c r="B22" s="28"/>
      <c r="C22" s="28"/>
      <c r="D22" s="30"/>
      <c r="E22" s="7" t="s">
        <v>14</v>
      </c>
      <c r="F22" s="10">
        <f>DEGREES(F18)</f>
        <v>12.313741013132976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</row>
    <row r="23" spans="1:18" x14ac:dyDescent="0.25">
      <c r="A23" s="27"/>
      <c r="B23" s="11" t="s">
        <v>30</v>
      </c>
      <c r="C23" s="22" t="s">
        <v>24</v>
      </c>
      <c r="D23" s="30"/>
      <c r="E23" s="7" t="s">
        <v>15</v>
      </c>
      <c r="F23" s="10">
        <f>DEGREES(F19)</f>
        <v>12.919225387159168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/>
    </row>
    <row r="24" spans="1:18" x14ac:dyDescent="0.25">
      <c r="A24" s="27"/>
      <c r="B24" s="12" t="s">
        <v>27</v>
      </c>
      <c r="C24" s="36">
        <v>3.3656100000000001E-2</v>
      </c>
      <c r="D24" s="30"/>
      <c r="E24" s="7" t="s">
        <v>16</v>
      </c>
      <c r="F24" s="10">
        <f>F20+F21</f>
        <v>43.524465721767967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9"/>
    </row>
    <row r="25" spans="1:18" x14ac:dyDescent="0.25">
      <c r="A25" s="27"/>
      <c r="B25" s="12" t="s">
        <v>28</v>
      </c>
      <c r="C25" s="36">
        <v>1.5237199999999999E-2</v>
      </c>
      <c r="D25" s="30"/>
      <c r="E25" s="7" t="s">
        <v>17</v>
      </c>
      <c r="F25" s="10">
        <f>F22+F23</f>
        <v>25.232966400292142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</row>
    <row r="26" spans="1:18" x14ac:dyDescent="0.25">
      <c r="A26" s="27"/>
      <c r="B26" s="12" t="s">
        <v>29</v>
      </c>
      <c r="C26" s="36">
        <v>-1.5167E-2</v>
      </c>
      <c r="D26" s="30"/>
      <c r="E26" s="7" t="s">
        <v>18</v>
      </c>
      <c r="F26" s="10">
        <f>SQRT(F24*F24 + F25*F25)</f>
        <v>50.309856983732587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9"/>
    </row>
    <row r="27" spans="1:18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9"/>
    </row>
    <row r="28" spans="1:18" x14ac:dyDescent="0.25">
      <c r="A28" s="27"/>
      <c r="B28" s="11" t="s">
        <v>34</v>
      </c>
      <c r="C28" s="22" t="s">
        <v>65</v>
      </c>
      <c r="D28" s="28"/>
      <c r="E28" s="1" t="s">
        <v>31</v>
      </c>
      <c r="F28" s="2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</row>
    <row r="29" spans="1:18" x14ac:dyDescent="0.25">
      <c r="A29" s="27"/>
      <c r="B29" s="12" t="s">
        <v>27</v>
      </c>
      <c r="C29" s="36">
        <v>-0.12676399999999999</v>
      </c>
      <c r="D29" s="28"/>
      <c r="E29" s="17" t="s">
        <v>32</v>
      </c>
      <c r="F29" s="8">
        <f>C15</f>
        <v>1920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9"/>
    </row>
    <row r="30" spans="1:18" x14ac:dyDescent="0.25">
      <c r="A30" s="27"/>
      <c r="B30" s="12" t="s">
        <v>28</v>
      </c>
      <c r="C30" s="36">
        <v>3.64979E-3</v>
      </c>
      <c r="D30" s="28"/>
      <c r="E30" s="17" t="s">
        <v>33</v>
      </c>
      <c r="F30" s="8">
        <f>C16</f>
        <v>1080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9"/>
    </row>
    <row r="31" spans="1:18" x14ac:dyDescent="0.25">
      <c r="A31" s="27"/>
      <c r="B31" s="12" t="s">
        <v>29</v>
      </c>
      <c r="C31" s="36">
        <v>1.71199E-3</v>
      </c>
      <c r="D31" s="28"/>
      <c r="E31" s="17" t="s">
        <v>35</v>
      </c>
      <c r="F31" s="13">
        <f>(F11+F24)*0.5</f>
        <v>43.446733840379459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</row>
    <row r="32" spans="1:18" x14ac:dyDescent="0.25">
      <c r="A32" s="27"/>
      <c r="B32" s="12" t="s">
        <v>39</v>
      </c>
      <c r="C32" s="36">
        <v>0.99192499999999995</v>
      </c>
      <c r="D32" s="28"/>
      <c r="E32" s="17" t="s">
        <v>36</v>
      </c>
      <c r="F32" s="13">
        <f>(F12+F25) *0.5</f>
        <v>25.208091934489367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9"/>
    </row>
    <row r="33" spans="1:18" x14ac:dyDescent="0.25">
      <c r="A33" s="27"/>
      <c r="B33" s="28"/>
      <c r="C33" s="28"/>
      <c r="D33" s="28"/>
      <c r="E33" s="17" t="s">
        <v>37</v>
      </c>
      <c r="F33" s="14">
        <v>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</row>
    <row r="34" spans="1:18" x14ac:dyDescent="0.25">
      <c r="A34" s="27"/>
      <c r="B34" s="11" t="s">
        <v>42</v>
      </c>
      <c r="C34" s="22" t="s">
        <v>65</v>
      </c>
      <c r="D34" s="28"/>
      <c r="E34" s="17" t="s">
        <v>38</v>
      </c>
      <c r="F34" s="14">
        <v>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9"/>
    </row>
    <row r="35" spans="1:18" x14ac:dyDescent="0.25">
      <c r="A35" s="27"/>
      <c r="B35" s="12" t="s">
        <v>27</v>
      </c>
      <c r="C35" s="36">
        <v>-0.132019</v>
      </c>
      <c r="D35" s="28"/>
      <c r="E35" s="18" t="s">
        <v>40</v>
      </c>
      <c r="F35" s="13">
        <f>C41</f>
        <v>1.4999999999999999E-2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</row>
    <row r="36" spans="1:18" x14ac:dyDescent="0.25">
      <c r="A36" s="27"/>
      <c r="B36" s="12" t="s">
        <v>28</v>
      </c>
      <c r="C36" s="36">
        <v>-1.1338900000000001E-2</v>
      </c>
      <c r="D36" s="28"/>
      <c r="E36" s="18" t="s">
        <v>41</v>
      </c>
      <c r="F36" s="13">
        <f>F3*C41*-1</f>
        <v>-5.576980892292382E-3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9"/>
    </row>
    <row r="37" spans="1:18" x14ac:dyDescent="0.25">
      <c r="A37" s="27"/>
      <c r="B37" s="12" t="s">
        <v>29</v>
      </c>
      <c r="C37" s="36">
        <v>2.13707E-3</v>
      </c>
      <c r="D37" s="28"/>
      <c r="E37" s="18" t="s">
        <v>43</v>
      </c>
      <c r="F37" s="13">
        <f>F4*C41</f>
        <v>5.7769972700315595E-3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</row>
    <row r="38" spans="1:18" x14ac:dyDescent="0.25">
      <c r="A38" s="27"/>
      <c r="B38" s="12" t="s">
        <v>39</v>
      </c>
      <c r="C38" s="36">
        <v>0.99117999999999995</v>
      </c>
      <c r="D38" s="28"/>
      <c r="E38" s="18" t="s">
        <v>44</v>
      </c>
      <c r="F38" s="13">
        <f>F5*C41</f>
        <v>3.0936222718395364E-3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9"/>
    </row>
    <row r="39" spans="1:18" x14ac:dyDescent="0.25">
      <c r="A39" s="27"/>
      <c r="B39" s="28"/>
      <c r="C39" s="28"/>
      <c r="D39" s="28"/>
      <c r="E39" s="19" t="s">
        <v>45</v>
      </c>
      <c r="F39" s="15">
        <f>F6*C41*-1</f>
        <v>-3.4993286442754588E-3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9"/>
    </row>
    <row r="40" spans="1:18" x14ac:dyDescent="0.25">
      <c r="A40" s="27"/>
      <c r="B40" s="1" t="s">
        <v>23</v>
      </c>
      <c r="C40" s="4" t="s">
        <v>24</v>
      </c>
      <c r="D40" s="28"/>
      <c r="E40" s="20" t="s">
        <v>46</v>
      </c>
      <c r="F40" s="16">
        <f>C19</f>
        <v>-3.0410199999999998E-2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9"/>
    </row>
    <row r="41" spans="1:18" x14ac:dyDescent="0.25">
      <c r="A41" s="27"/>
      <c r="B41" s="2" t="s">
        <v>25</v>
      </c>
      <c r="C41" s="35">
        <v>1.4999999999999999E-2</v>
      </c>
      <c r="D41" s="28"/>
      <c r="E41" s="20" t="s">
        <v>47</v>
      </c>
      <c r="F41" s="16">
        <f>C20*-1</f>
        <v>-1.5011099999999999E-2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9"/>
    </row>
    <row r="42" spans="1:18" x14ac:dyDescent="0.25">
      <c r="A42" s="27"/>
      <c r="B42" s="28"/>
      <c r="C42" s="28"/>
      <c r="D42" s="28"/>
      <c r="E42" s="20" t="s">
        <v>48</v>
      </c>
      <c r="F42" s="16">
        <f>C21*-1</f>
        <v>1.47408E-2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</row>
    <row r="43" spans="1:18" x14ac:dyDescent="0.25">
      <c r="A43" s="27"/>
      <c r="B43" s="28"/>
      <c r="C43" s="28"/>
      <c r="D43" s="28"/>
      <c r="E43" s="20" t="s">
        <v>49</v>
      </c>
      <c r="F43" s="16">
        <f>C29</f>
        <v>-0.12676399999999999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9"/>
    </row>
    <row r="44" spans="1:18" x14ac:dyDescent="0.25">
      <c r="A44" s="27"/>
      <c r="B44" s="28"/>
      <c r="C44" s="28"/>
      <c r="D44" s="28"/>
      <c r="E44" s="20" t="s">
        <v>50</v>
      </c>
      <c r="F44" s="16">
        <f>C30*-1</f>
        <v>-3.64979E-3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9"/>
    </row>
    <row r="45" spans="1:18" x14ac:dyDescent="0.25">
      <c r="A45" s="27"/>
      <c r="B45" s="28"/>
      <c r="C45" s="28"/>
      <c r="D45" s="28"/>
      <c r="E45" s="20" t="s">
        <v>51</v>
      </c>
      <c r="F45" s="16">
        <f>C31*-1</f>
        <v>-1.71199E-3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9"/>
    </row>
    <row r="46" spans="1:18" x14ac:dyDescent="0.25">
      <c r="A46" s="27"/>
      <c r="B46" s="28"/>
      <c r="C46" s="28"/>
      <c r="D46" s="30"/>
      <c r="E46" s="20" t="s">
        <v>52</v>
      </c>
      <c r="F46" s="16">
        <f>C32*-1*-1</f>
        <v>0.99192499999999995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9"/>
    </row>
    <row r="47" spans="1:18" x14ac:dyDescent="0.25">
      <c r="A47" s="27"/>
      <c r="B47" s="28"/>
      <c r="C47" s="28"/>
      <c r="D47" s="30"/>
      <c r="E47" s="21" t="s">
        <v>53</v>
      </c>
      <c r="F47" s="16">
        <f>C41</f>
        <v>1.4999999999999999E-2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9"/>
    </row>
    <row r="48" spans="1:18" x14ac:dyDescent="0.25">
      <c r="A48" s="27"/>
      <c r="B48" s="28"/>
      <c r="C48" s="28"/>
      <c r="D48" s="30"/>
      <c r="E48" s="21" t="s">
        <v>54</v>
      </c>
      <c r="F48" s="16">
        <f>F16*C41*-1</f>
        <v>-5.5373579346132797E-3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9"/>
    </row>
    <row r="49" spans="1:18" x14ac:dyDescent="0.25">
      <c r="A49" s="27"/>
      <c r="B49" s="28"/>
      <c r="C49" s="28"/>
      <c r="D49" s="30"/>
      <c r="E49" s="21" t="s">
        <v>55</v>
      </c>
      <c r="F49" s="16">
        <f>F17*C41</f>
        <v>5.8573205456306388E-3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</row>
    <row r="50" spans="1:18" x14ac:dyDescent="0.25">
      <c r="A50" s="27"/>
      <c r="B50" s="28"/>
      <c r="C50" s="28"/>
      <c r="D50" s="30"/>
      <c r="E50" s="21" t="s">
        <v>56</v>
      </c>
      <c r="F50" s="16">
        <f>F18*C41</f>
        <v>3.223729858755491E-3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9"/>
    </row>
    <row r="51" spans="1:18" x14ac:dyDescent="0.25">
      <c r="A51" s="27"/>
      <c r="B51" s="28"/>
      <c r="C51" s="28"/>
      <c r="D51" s="30"/>
      <c r="E51" s="21" t="s">
        <v>57</v>
      </c>
      <c r="F51" s="16">
        <f>F19*C41*-1</f>
        <v>-3.3822452971974991E-3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9"/>
    </row>
    <row r="52" spans="1:18" x14ac:dyDescent="0.25">
      <c r="A52" s="27"/>
      <c r="B52" s="28"/>
      <c r="C52" s="28"/>
      <c r="D52" s="30"/>
      <c r="E52" s="21" t="s">
        <v>58</v>
      </c>
      <c r="F52" s="16">
        <f>C24</f>
        <v>3.3656100000000001E-2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9"/>
    </row>
    <row r="53" spans="1:18" x14ac:dyDescent="0.25">
      <c r="A53" s="27"/>
      <c r="B53" s="28"/>
      <c r="C53" s="28"/>
      <c r="D53" s="30"/>
      <c r="E53" s="21" t="s">
        <v>59</v>
      </c>
      <c r="F53" s="16">
        <f>C25*-1</f>
        <v>-1.5237199999999999E-2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9"/>
    </row>
    <row r="54" spans="1:18" x14ac:dyDescent="0.25">
      <c r="A54" s="27"/>
      <c r="B54" s="28"/>
      <c r="C54" s="28"/>
      <c r="D54" s="30"/>
      <c r="E54" s="21" t="s">
        <v>60</v>
      </c>
      <c r="F54" s="16">
        <f>C26*-1</f>
        <v>1.5167E-2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9"/>
    </row>
    <row r="55" spans="1:18" x14ac:dyDescent="0.25">
      <c r="A55" s="27"/>
      <c r="B55" s="28"/>
      <c r="C55" s="28"/>
      <c r="D55" s="30"/>
      <c r="E55" s="21" t="s">
        <v>61</v>
      </c>
      <c r="F55" s="16">
        <f>C35</f>
        <v>-0.132019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9"/>
    </row>
    <row r="56" spans="1:18" x14ac:dyDescent="0.25">
      <c r="A56" s="27"/>
      <c r="B56" s="28"/>
      <c r="C56" s="28"/>
      <c r="D56" s="30"/>
      <c r="E56" s="21" t="s">
        <v>62</v>
      </c>
      <c r="F56" s="16">
        <f>C36*-1</f>
        <v>1.1338900000000001E-2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9"/>
    </row>
    <row r="57" spans="1:18" x14ac:dyDescent="0.25">
      <c r="A57" s="27"/>
      <c r="B57" s="28"/>
      <c r="C57" s="28"/>
      <c r="D57" s="30"/>
      <c r="E57" s="21" t="s">
        <v>63</v>
      </c>
      <c r="F57" s="16">
        <f>C37*-1</f>
        <v>-2.13707E-3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9"/>
    </row>
    <row r="58" spans="1:18" x14ac:dyDescent="0.25">
      <c r="A58" s="27"/>
      <c r="B58" s="28"/>
      <c r="C58" s="28"/>
      <c r="D58" s="30"/>
      <c r="E58" s="21" t="s">
        <v>64</v>
      </c>
      <c r="F58" s="16">
        <f>C38*-1*-1</f>
        <v>0.99117999999999995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9"/>
    </row>
    <row r="59" spans="1:18" x14ac:dyDescent="0.25">
      <c r="A59" s="27"/>
      <c r="B59" s="28"/>
      <c r="C59" s="30"/>
      <c r="D59" s="30"/>
      <c r="E59" s="30"/>
      <c r="F59" s="30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9"/>
    </row>
    <row r="60" spans="1:18" x14ac:dyDescent="0.25">
      <c r="A60" s="31"/>
      <c r="B60" s="32"/>
      <c r="C60" s="33"/>
      <c r="D60" s="33"/>
      <c r="E60" s="33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4"/>
    </row>
    <row r="61" spans="1:18" x14ac:dyDescent="0.25">
      <c r="B61" s="5"/>
      <c r="C61" s="5"/>
      <c r="D61" s="5"/>
      <c r="E61" s="5"/>
      <c r="F61" s="5"/>
    </row>
    <row r="62" spans="1:18" x14ac:dyDescent="0.25">
      <c r="B62" s="5"/>
      <c r="C62" s="5"/>
      <c r="D62" s="5"/>
    </row>
    <row r="63" spans="1:18" x14ac:dyDescent="0.25">
      <c r="B63" s="5"/>
      <c r="C63" s="5"/>
      <c r="D63" s="5"/>
    </row>
  </sheetData>
  <sheetProtection algorithmName="SHA-512" hashValue="esgeps61ZWEuA+R/OtW+bSv4IvqyxJf9BXrqK+ITL6wc57jlAJvR3L9gtPWQPF4V30ZmcYCwZU++nzs2OEQLHg==" saltValue="WMXUoDQG6gHLEOHnp7eytw==" spinCount="100000" sheet="1" objects="1" scenarios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Folder xmlns="fbfbd40e-5a87-4fe6-9f87-c4f3fdc2fe58" xsi:nil="true"/>
    <mfqj xmlns="fbfbd40e-5a87-4fe6-9f87-c4f3fdc2fe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6713C52A7E24298CBC3FF863D8BCB" ma:contentTypeVersion="29" ma:contentTypeDescription="Create a new document." ma:contentTypeScope="" ma:versionID="a0ffe98e102843f12f086d487907d563">
  <xsd:schema xmlns:xsd="http://www.w3.org/2001/XMLSchema" xmlns:xs="http://www.w3.org/2001/XMLSchema" xmlns:p="http://schemas.microsoft.com/office/2006/metadata/properties" xmlns:ns2="fbfbd40e-5a87-4fe6-9f87-c4f3fdc2fe58" xmlns:ns3="cb53bd19-31b8-4562-baa1-054379ead952" targetNamespace="http://schemas.microsoft.com/office/2006/metadata/properties" ma:root="true" ma:fieldsID="70e7cef20fa387a8fea04ca2cd7ab37c" ns2:_="" ns3:_="">
    <xsd:import namespace="fbfbd40e-5a87-4fe6-9f87-c4f3fdc2fe58"/>
    <xsd:import namespace="cb53bd19-31b8-4562-baa1-054379ead9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fqj" minOccurs="0"/>
                <xsd:element ref="ns2:fe26030c-9ae7-4621-b524-de079b962d78CountryOrRegion" minOccurs="0"/>
                <xsd:element ref="ns2:fe26030c-9ae7-4621-b524-de079b962d78State" minOccurs="0"/>
                <xsd:element ref="ns2:fe26030c-9ae7-4621-b524-de079b962d78City" minOccurs="0"/>
                <xsd:element ref="ns2:fe26030c-9ae7-4621-b524-de079b962d78PostalCode" minOccurs="0"/>
                <xsd:element ref="ns2:fe26030c-9ae7-4621-b524-de079b962d78Street" minOccurs="0"/>
                <xsd:element ref="ns2:fe26030c-9ae7-4621-b524-de079b962d78GeoLoc" minOccurs="0"/>
                <xsd:element ref="ns2:fe26030c-9ae7-4621-b524-de079b962d78DispName" minOccurs="0"/>
                <xsd:element ref="ns2:SharedFolder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bd40e-5a87-4fe6-9f87-c4f3fdc2fe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fqj" ma:index="15" nillable="true" ma:displayName="Location" ma:internalName="mfqj">
      <xsd:simpleType>
        <xsd:restriction base="dms:Unknown"/>
      </xsd:simpleType>
    </xsd:element>
    <xsd:element name="fe26030c-9ae7-4621-b524-de079b962d78CountryOrRegion" ma:index="16" nillable="true" ma:displayName="Location: Country/Region" ma:internalName="CountryOrRegion0" ma:readOnly="true">
      <xsd:simpleType>
        <xsd:restriction base="dms:Text"/>
      </xsd:simpleType>
    </xsd:element>
    <xsd:element name="fe26030c-9ae7-4621-b524-de079b962d78State" ma:index="17" nillable="true" ma:displayName="Location: State" ma:internalName="State0" ma:readOnly="true">
      <xsd:simpleType>
        <xsd:restriction base="dms:Text"/>
      </xsd:simpleType>
    </xsd:element>
    <xsd:element name="fe26030c-9ae7-4621-b524-de079b962d78City" ma:index="18" nillable="true" ma:displayName="Location: City" ma:internalName="City0" ma:readOnly="true">
      <xsd:simpleType>
        <xsd:restriction base="dms:Text"/>
      </xsd:simpleType>
    </xsd:element>
    <xsd:element name="fe26030c-9ae7-4621-b524-de079b962d78PostalCode" ma:index="19" nillable="true" ma:displayName="Location: Postal Code" ma:internalName="PostalCode0" ma:readOnly="true">
      <xsd:simpleType>
        <xsd:restriction base="dms:Text"/>
      </xsd:simpleType>
    </xsd:element>
    <xsd:element name="fe26030c-9ae7-4621-b524-de079b962d78Street" ma:index="20" nillable="true" ma:displayName="Location: Street" ma:internalName="Street0" ma:readOnly="true">
      <xsd:simpleType>
        <xsd:restriction base="dms:Text"/>
      </xsd:simpleType>
    </xsd:element>
    <xsd:element name="fe26030c-9ae7-4621-b524-de079b962d78GeoLoc" ma:index="21" nillable="true" ma:displayName="Location: Coordinates" ma:internalName="GeoLoc0" ma:readOnly="true">
      <xsd:simpleType>
        <xsd:restriction base="dms:Unknown"/>
      </xsd:simpleType>
    </xsd:element>
    <xsd:element name="fe26030c-9ae7-4621-b524-de079b962d78DispName" ma:index="22" nillable="true" ma:displayName="Location: Name" ma:internalName="DispName0" ma:readOnly="true">
      <xsd:simpleType>
        <xsd:restriction base="dms:Text"/>
      </xsd:simpleType>
    </xsd:element>
    <xsd:element name="SharedFolder" ma:index="23" nillable="true" ma:displayName="Shared Folder" ma:description="Location of a shared folder" ma:format="Dropdown" ma:internalName="SharedFolder">
      <xsd:simpleType>
        <xsd:restriction base="dms:Text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3bd19-31b8-4562-baa1-054379ead9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6454D-1035-422B-9E14-6C8249B58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D44601-F628-430F-87F5-E09875D00584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cb53bd19-31b8-4562-baa1-054379ead952"/>
    <ds:schemaRef ds:uri="fbfbd40e-5a87-4fe6-9f87-c4f3fdc2fe5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66D1E6-E975-4AF9-B2EE-551C90FEE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bd40e-5a87-4fe6-9f87-c4f3fdc2fe58"/>
    <ds:schemaRef ds:uri="cb53bd19-31b8-4562-baa1-054379ead9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Devlin</dc:creator>
  <cp:keywords/>
  <dc:description/>
  <cp:lastModifiedBy>Andrew Devlin</cp:lastModifiedBy>
  <cp:revision/>
  <dcterms:created xsi:type="dcterms:W3CDTF">2020-08-17T22:52:25Z</dcterms:created>
  <dcterms:modified xsi:type="dcterms:W3CDTF">2020-08-18T23:31:37Z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0x0101003F36713C52A7E24298CBC3FF863D8BCB</vt:lpwstr>
  </property>
</Properties>
</file>